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23b813f12e94ea4/바탕 화면/MouseWithoutBorders/"/>
    </mc:Choice>
  </mc:AlternateContent>
  <xr:revisionPtr revIDLastSave="1" documentId="8_{C0514B42-0E48-44A4-A63C-948A51AF1AB2}" xr6:coauthVersionLast="47" xr6:coauthVersionMax="47" xr10:uidLastSave="{35AA6A28-66BA-4B50-8748-A8D447336B03}"/>
  <bookViews>
    <workbookView xWindow="-120" yWindow="-120" windowWidth="21840" windowHeight="13020" xr2:uid="{00000000-000D-0000-FFFF-FFFF00000000}"/>
  </bookViews>
  <sheets>
    <sheet name="Manpower Roster (Sep 202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  <c r="L8" i="1"/>
  <c r="J8" i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16" i="1"/>
  <c r="L16" i="1" s="1"/>
  <c r="J17" i="1"/>
  <c r="L17" i="1" s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J7" i="1"/>
  <c r="L7" i="1" s="1"/>
  <c r="I7" i="1"/>
  <c r="H9" i="1" l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8" i="1"/>
</calcChain>
</file>

<file path=xl/sharedStrings.xml><?xml version="1.0" encoding="utf-8"?>
<sst xmlns="http://schemas.openxmlformats.org/spreadsheetml/2006/main" count="221" uniqueCount="114">
  <si>
    <t>NIAS LNG TERMINAL — MANPOWER &amp; SHIFT ROSTER</t>
  </si>
  <si>
    <t>ON-SITE ACTIVE: 18 / 22 (82%)</t>
  </si>
  <si>
    <t>OFF-DUTY LEAVE (AL): 4 / 22 (18%)</t>
  </si>
  <si>
    <t>ERT COMPLIANCE: 100% CLEARED [AUTHORIZED]</t>
  </si>
  <si>
    <t>ID</t>
  </si>
  <si>
    <t>Personnel Name</t>
  </si>
  <si>
    <t>Position</t>
  </si>
  <si>
    <t>Team</t>
  </si>
  <si>
    <t>Department</t>
  </si>
  <si>
    <t>Status</t>
  </si>
  <si>
    <t>Today Shift</t>
  </si>
  <si>
    <t>On-Site Days</t>
  </si>
  <si>
    <t>Cycle Start</t>
  </si>
  <si>
    <t>Next Rotation (AL)</t>
  </si>
  <si>
    <t>Designated Reliever</t>
  </si>
  <si>
    <t>Contact No</t>
  </si>
  <si>
    <t>Radio CH</t>
  </si>
  <si>
    <t>ERT Role</t>
  </si>
  <si>
    <t>Edi Hermawan</t>
  </si>
  <si>
    <t>Site Manager</t>
  </si>
  <si>
    <t>Management</t>
  </si>
  <si>
    <t>MANAGEMENT</t>
  </si>
  <si>
    <t>On-Site</t>
  </si>
  <si>
    <t>D</t>
  </si>
  <si>
    <t>HQ Delegate</t>
  </si>
  <si>
    <t>CH-01 (CMD)</t>
  </si>
  <si>
    <t>Incident Commander</t>
  </si>
  <si>
    <t>Shadiq M. Shalih</t>
  </si>
  <si>
    <t>OP Team Leader</t>
  </si>
  <si>
    <t>Management ( Team A )</t>
  </si>
  <si>
    <t>Off</t>
  </si>
  <si>
    <t>Asman Sampeaman</t>
  </si>
  <si>
    <t>+62 811-6502-3341</t>
  </si>
  <si>
    <t>Yusuf</t>
  </si>
  <si>
    <t>Field Operator</t>
  </si>
  <si>
    <t>TEAM-A</t>
  </si>
  <si>
    <t>Muradi</t>
  </si>
  <si>
    <t>+62 813-8822-1044</t>
  </si>
  <si>
    <t>CH-02 (OPS)</t>
  </si>
  <si>
    <t>Gas Leak Response</t>
  </si>
  <si>
    <t>Erwin Supriatna</t>
  </si>
  <si>
    <t>Ripal Fadiah</t>
  </si>
  <si>
    <t>+62 812-4433-8890</t>
  </si>
  <si>
    <t>First Aider</t>
  </si>
  <si>
    <t>TEAM-B</t>
  </si>
  <si>
    <t>Juli Surungan</t>
  </si>
  <si>
    <t>+62 812-9900-1122</t>
  </si>
  <si>
    <t>Danang</t>
  </si>
  <si>
    <t>+62 813-1122-3344</t>
  </si>
  <si>
    <t>Uliyansyah</t>
  </si>
  <si>
    <t>+62 812-3344-5566</t>
  </si>
  <si>
    <t>TEAM-C</t>
  </si>
  <si>
    <t>+62 811-7788-9900</t>
  </si>
  <si>
    <t>+62 813-9988-7766</t>
  </si>
  <si>
    <t>+62 812-6655-4433</t>
  </si>
  <si>
    <t>Maintenance</t>
  </si>
  <si>
    <t>MAINTENANCE</t>
  </si>
  <si>
    <t>CH-03 (MAINT)</t>
  </si>
  <si>
    <t>+62 812-7766-5544</t>
  </si>
  <si>
    <t>+62 811-2233-4455</t>
  </si>
  <si>
    <t>Arsyan AN</t>
  </si>
  <si>
    <t>HSE Officer</t>
  </si>
  <si>
    <t>HSSE Team</t>
  </si>
  <si>
    <t>HSSE</t>
  </si>
  <si>
    <t>Chandra R.D</t>
  </si>
  <si>
    <t>+62 812-1144-7788</t>
  </si>
  <si>
    <t>CH-04 (HSSE)</t>
  </si>
  <si>
    <t>Fire Chief</t>
  </si>
  <si>
    <t>+62 811-9988-1122</t>
  </si>
  <si>
    <t>Albert A. Gea</t>
  </si>
  <si>
    <t>HR / GA Officer</t>
  </si>
  <si>
    <t>HR / GA</t>
  </si>
  <si>
    <t>HR_GA</t>
  </si>
  <si>
    <t>2026-07-04</t>
  </si>
  <si>
    <t>Jefi R. Zega</t>
  </si>
  <si>
    <t>+62 813-6655-2211</t>
  </si>
  <si>
    <t>CH-05 (LOG)</t>
  </si>
  <si>
    <t>HR / GA Coordinator</t>
  </si>
  <si>
    <t>2026-08-06</t>
  </si>
  <si>
    <t>Super Cargo</t>
  </si>
  <si>
    <t>Indra Prabayugo</t>
  </si>
  <si>
    <t>Mechanic Engineer</t>
  </si>
  <si>
    <t>Agunawan</t>
  </si>
  <si>
    <t>Maintenance E&amp;I</t>
  </si>
  <si>
    <t>Target Cycle/Day</t>
  </si>
  <si>
    <t>Indra Parulian</t>
  </si>
  <si>
    <t>Rafi Anggara</t>
  </si>
  <si>
    <t>Crane Operator</t>
  </si>
  <si>
    <t>0812-3332-8894</t>
  </si>
  <si>
    <t>082165171882</t>
  </si>
  <si>
    <t>Off-Site</t>
  </si>
  <si>
    <t>Baseline Date: 2026-09-01 (Current Today) | 3:1 Rotation Cycle Engine (3Mo On-Site / 30d Off-Duty) | Total Manning: 22 Personnel</t>
  </si>
  <si>
    <t>BSG259529</t>
  </si>
  <si>
    <t>BSG259530</t>
  </si>
  <si>
    <t>BSG259532</t>
  </si>
  <si>
    <t>BSG259524</t>
  </si>
  <si>
    <t>BSG259736</t>
  </si>
  <si>
    <t>BSG259743</t>
  </si>
  <si>
    <t>BSG259833</t>
  </si>
  <si>
    <t>BSG258742</t>
  </si>
  <si>
    <t>BSG259735</t>
  </si>
  <si>
    <t>BSG259634</t>
  </si>
  <si>
    <t>BSG259237</t>
  </si>
  <si>
    <t>BSG259420</t>
  </si>
  <si>
    <t>BSG259641</t>
  </si>
  <si>
    <t>BSG259919</t>
  </si>
  <si>
    <t>BSG259245</t>
  </si>
  <si>
    <t>BSG259646</t>
  </si>
  <si>
    <t>BSG259444</t>
  </si>
  <si>
    <t>BSG199551</t>
  </si>
  <si>
    <t>D</t>
    <phoneticPr fontId="14" type="noConversion"/>
  </si>
  <si>
    <t xml:space="preserve">Operation Team </t>
    <phoneticPr fontId="14" type="noConversion"/>
  </si>
  <si>
    <t>Cargo Operation</t>
    <phoneticPr fontId="14" type="noConversion"/>
  </si>
  <si>
    <t>Cargo Logistic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</si>
</sst>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b/>
      <sz val="16"/>
      <color rgb="FFFFFFFF"/>
      <name val="Segoe UI"/>
      <family val="2"/>
    </font>
    <font>
      <i/>
      <sz val="10"/>
      <color rgb="FF475569"/>
      <name val="Segoe UI"/>
      <family val="2"/>
    </font>
    <font>
      <b/>
      <sz val="10"/>
      <color rgb="FF065F46"/>
      <name val="Segoe UI"/>
      <family val="2"/>
    </font>
    <font>
      <b/>
      <sz val="10"/>
      <color rgb="FF92400E"/>
      <name val="Segoe UI"/>
      <family val="2"/>
    </font>
    <font>
      <b/>
      <sz val="10"/>
      <color rgb="FF1E40AF"/>
      <name val="Segoe UI"/>
      <family val="2"/>
    </font>
    <font>
      <b/>
      <sz val="10"/>
      <color rgb="FFFFFFFF"/>
      <name val="Segoe UI"/>
      <family val="2"/>
    </font>
    <font>
      <sz val="9.5"/>
      <color rgb="FF1E293B"/>
      <name val="Segoe UI"/>
      <family val="2"/>
    </font>
    <font>
      <b/>
      <sz val="9.5"/>
      <color rgb="FF334155"/>
      <name val="Segoe UI"/>
      <family val="2"/>
    </font>
    <font>
      <b/>
      <sz val="10"/>
      <color rgb="FF0F172A"/>
      <name val="Segoe UI"/>
      <family val="2"/>
    </font>
    <font>
      <b/>
      <sz val="9.5"/>
      <color rgb="FF1E3A8A"/>
      <name val="Segoe UI"/>
      <family val="2"/>
    </font>
    <font>
      <b/>
      <sz val="9.5"/>
      <color rgb="FF166534"/>
      <name val="Segoe UI"/>
      <family val="2"/>
    </font>
    <font>
      <b/>
      <sz val="9.5"/>
      <color rgb="FF1E40AF"/>
      <name val="Segoe UI"/>
      <family val="2"/>
    </font>
    <font>
      <b/>
      <sz val="9.5"/>
      <color rgb="FF475569"/>
      <name val="Segoe UI"/>
      <family val="2"/>
    </font>
    <font>
      <sz val="8"/>
      <name val="맑은 고딕"/>
      <family val="2"/>
      <scheme val="minor"/>
    </font>
    <font>
      <sz val="10"/>
      <color rgb="FF0F172A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203A43"/>
        <bgColor rgb="FF203A43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1F5F9"/>
      </patternFill>
    </fill>
    <fill>
      <patternFill patternType="solid">
        <fgColor rgb="FFFF0000"/>
        <bgColor rgb="FFDCFCE7"/>
      </patternFill>
    </fill>
    <fill>
      <patternFill patternType="solid">
        <fgColor rgb="FFFFFF00"/>
        <bgColor rgb="FFF8FAFC"/>
      </patternFill>
    </fill>
    <fill>
      <patternFill patternType="solid">
        <fgColor rgb="FFFFFF00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rgb="FFDCFCE7"/>
      </patternFill>
    </fill>
    <fill>
      <patternFill patternType="solid">
        <fgColor theme="7" tint="0.39997558519241921"/>
        <bgColor rgb="FFDBEAFE"/>
      </patternFill>
    </fill>
    <fill>
      <patternFill patternType="solid">
        <fgColor theme="7" tint="0.39997558519241921"/>
        <bgColor rgb="FFF8FAFC"/>
      </patternFill>
    </fill>
  </fills>
  <borders count="5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medium">
        <color rgb="FF1B365D"/>
      </top>
      <bottom style="medium">
        <color rgb="FF1B365D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/>
      <top style="medium">
        <color rgb="FF1B365D"/>
      </top>
      <bottom style="medium">
        <color rgb="FF1B365D"/>
      </bottom>
      <diagonal/>
    </border>
    <border>
      <left/>
      <right style="thin">
        <color rgb="FF94A3B8"/>
      </right>
      <top style="medium">
        <color rgb="FF1B365D"/>
      </top>
      <bottom style="medium">
        <color rgb="FF1B365D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6" fillId="7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left" vertical="center" indent="1"/>
    </xf>
    <xf numFmtId="0" fontId="10" fillId="8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left" vertical="center" indent="1"/>
    </xf>
    <xf numFmtId="0" fontId="7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left" vertical="center" indent="1"/>
    </xf>
    <xf numFmtId="0" fontId="10" fillId="10" borderId="2" xfId="0" applyFont="1" applyFill="1" applyBorder="1" applyAlignment="1">
      <alignment horizontal="left" vertical="center" indent="1"/>
    </xf>
    <xf numFmtId="0" fontId="7" fillId="10" borderId="2" xfId="0" applyFont="1" applyFill="1" applyBorder="1" applyAlignment="1">
      <alignment horizontal="left" vertical="center" indent="1"/>
    </xf>
    <xf numFmtId="0" fontId="7" fillId="10" borderId="2" xfId="0" applyFont="1" applyFill="1" applyBorder="1" applyAlignment="1">
      <alignment horizontal="center" vertical="center"/>
    </xf>
    <xf numFmtId="14" fontId="7" fillId="8" borderId="2" xfId="0" applyNumberFormat="1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left" vertical="center" indent="1"/>
    </xf>
    <xf numFmtId="0" fontId="15" fillId="8" borderId="2" xfId="0" applyFont="1" applyFill="1" applyBorder="1" applyAlignment="1">
      <alignment horizontal="left" vertical="center" indent="1"/>
    </xf>
    <xf numFmtId="0" fontId="13" fillId="11" borderId="2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7" fillId="8" borderId="2" xfId="0" quotePrefix="1" applyFont="1" applyFill="1" applyBorder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14" fontId="7" fillId="15" borderId="2" xfId="0" applyNumberFormat="1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9" fillId="16" borderId="2" xfId="0" applyFont="1" applyFill="1" applyBorder="1" applyAlignment="1">
      <alignment horizontal="left" vertical="center" indent="1"/>
    </xf>
    <xf numFmtId="0" fontId="10" fillId="16" borderId="2" xfId="0" applyFont="1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left" vertical="center" indent="1"/>
    </xf>
    <xf numFmtId="0" fontId="7" fillId="16" borderId="2" xfId="0" applyFont="1" applyFill="1" applyBorder="1" applyAlignment="1">
      <alignment horizontal="center" vertical="center"/>
    </xf>
    <xf numFmtId="0" fontId="11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14" fontId="7" fillId="16" borderId="2" xfId="0" applyNumberFormat="1" applyFont="1" applyFill="1" applyBorder="1" applyAlignment="1">
      <alignment horizontal="center" vertical="center"/>
    </xf>
    <xf numFmtId="0" fontId="9" fillId="19" borderId="2" xfId="0" applyFont="1" applyFill="1" applyBorder="1" applyAlignment="1">
      <alignment horizontal="left" vertical="center" indent="1"/>
    </xf>
    <xf numFmtId="0" fontId="10" fillId="19" borderId="2" xfId="0" applyFont="1" applyFill="1" applyBorder="1" applyAlignment="1">
      <alignment horizontal="left" vertical="center" indent="1"/>
    </xf>
    <xf numFmtId="0" fontId="7" fillId="19" borderId="2" xfId="0" applyFont="1" applyFill="1" applyBorder="1" applyAlignment="1">
      <alignment horizontal="left" vertical="center" indent="1"/>
    </xf>
    <xf numFmtId="0" fontId="7" fillId="19" borderId="2" xfId="0" applyFont="1" applyFill="1" applyBorder="1" applyAlignment="1">
      <alignment horizontal="center" vertical="center"/>
    </xf>
    <xf numFmtId="14" fontId="7" fillId="19" borderId="2" xfId="0" applyNumberFormat="1" applyFont="1" applyFill="1" applyBorder="1" applyAlignment="1">
      <alignment horizontal="center" vertical="center"/>
    </xf>
    <xf numFmtId="0" fontId="7" fillId="16" borderId="2" xfId="0" quotePrefix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3" zoomScale="70" zoomScaleNormal="70" workbookViewId="0">
      <selection activeCell="D29" sqref="D28:D29"/>
    </sheetView>
  </sheetViews>
  <sheetFormatPr defaultRowHeight="16.5" x14ac:dyDescent="0.3"/>
  <cols>
    <col min="1" max="1" width="12.5" customWidth="1"/>
    <col min="2" max="2" width="18" customWidth="1"/>
    <col min="3" max="3" width="32.125" customWidth="1"/>
    <col min="4" max="4" width="22" customWidth="1"/>
    <col min="5" max="6" width="14" customWidth="1"/>
    <col min="7" max="7" width="13" customWidth="1"/>
    <col min="8" max="9" width="14" customWidth="1"/>
    <col min="10" max="10" width="15" customWidth="1"/>
    <col min="11" max="11" width="14" customWidth="1"/>
    <col min="12" max="12" width="18" customWidth="1"/>
    <col min="13" max="13" width="20" hidden="1" customWidth="1"/>
    <col min="14" max="14" width="18" customWidth="1"/>
    <col min="15" max="15" width="14" customWidth="1"/>
    <col min="16" max="16" width="20" customWidth="1"/>
  </cols>
  <sheetData>
    <row r="1" spans="1:16" ht="40.15" customHeight="1" x14ac:dyDescent="0.3">
      <c r="A1" s="42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24" customHeight="1" x14ac:dyDescent="0.3">
      <c r="A2" s="40" t="s">
        <v>91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10.15" customHeight="1" x14ac:dyDescent="0.3"/>
    <row r="4" spans="1:16" ht="24" customHeight="1" x14ac:dyDescent="0.3">
      <c r="B4" s="41" t="s">
        <v>1</v>
      </c>
      <c r="C4" s="39"/>
      <c r="D4" s="39"/>
      <c r="F4" s="43" t="s">
        <v>2</v>
      </c>
      <c r="G4" s="39"/>
      <c r="H4" s="39"/>
      <c r="K4" s="38" t="s">
        <v>3</v>
      </c>
      <c r="L4" s="39"/>
      <c r="M4" s="39"/>
      <c r="N4" s="39"/>
      <c r="O4" s="39"/>
    </row>
    <row r="5" spans="1:16" ht="10.15" customHeight="1" thickBot="1" x14ac:dyDescent="0.35"/>
    <row r="6" spans="1:16" ht="28.15" customHeight="1" thickBot="1" x14ac:dyDescent="0.3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36" t="s">
        <v>11</v>
      </c>
      <c r="I6" s="37"/>
      <c r="J6" s="1" t="s">
        <v>84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ht="22.15" customHeight="1" x14ac:dyDescent="0.3">
      <c r="A7" s="2" t="s">
        <v>92</v>
      </c>
      <c r="B7" s="3" t="s">
        <v>18</v>
      </c>
      <c r="C7" s="4" t="s">
        <v>19</v>
      </c>
      <c r="D7" s="5" t="s">
        <v>20</v>
      </c>
      <c r="E7" s="6" t="s">
        <v>21</v>
      </c>
      <c r="F7" s="7" t="s">
        <v>22</v>
      </c>
      <c r="G7" s="8" t="s">
        <v>23</v>
      </c>
      <c r="H7" s="13">
        <f>K7-30</f>
        <v>46212</v>
      </c>
      <c r="I7" s="6">
        <f ca="1">IF(F7="On-Site", TODAY()-K7+1,0)</f>
        <v>28</v>
      </c>
      <c r="J7" s="6">
        <f>EDATE(K7,3)-K7</f>
        <v>92</v>
      </c>
      <c r="K7" s="20">
        <v>46242</v>
      </c>
      <c r="L7" s="13">
        <f>K7+J7</f>
        <v>46334</v>
      </c>
      <c r="M7" s="5" t="s">
        <v>24</v>
      </c>
      <c r="N7" s="18" t="s">
        <v>88</v>
      </c>
      <c r="O7" s="6" t="s">
        <v>25</v>
      </c>
      <c r="P7" s="5" t="s">
        <v>26</v>
      </c>
    </row>
    <row r="8" spans="1:16" ht="22.15" customHeight="1" x14ac:dyDescent="0.3">
      <c r="A8" s="2" t="s">
        <v>95</v>
      </c>
      <c r="B8" s="9" t="s">
        <v>27</v>
      </c>
      <c r="C8" s="10" t="s">
        <v>28</v>
      </c>
      <c r="D8" s="11" t="s">
        <v>29</v>
      </c>
      <c r="E8" s="12" t="s">
        <v>21</v>
      </c>
      <c r="F8" s="19" t="s">
        <v>90</v>
      </c>
      <c r="G8" s="16" t="s">
        <v>30</v>
      </c>
      <c r="H8" s="13">
        <f>K8-30</f>
        <v>46246</v>
      </c>
      <c r="I8" s="6">
        <f t="shared" ref="I8:I24" ca="1" si="0">IF(F8="On-Site", TODAY()-K8+1,0)</f>
        <v>0</v>
      </c>
      <c r="J8" s="6">
        <f t="shared" ref="J8:J24" si="1">EDATE(K8,3)-K8</f>
        <v>91</v>
      </c>
      <c r="K8" s="20">
        <v>46276</v>
      </c>
      <c r="L8" s="13">
        <f t="shared" ref="L8:L24" si="2">K8+J8</f>
        <v>46367</v>
      </c>
      <c r="M8" s="11" t="s">
        <v>31</v>
      </c>
      <c r="N8" s="12" t="s">
        <v>32</v>
      </c>
      <c r="O8" s="12" t="s">
        <v>25</v>
      </c>
      <c r="P8" s="11" t="s">
        <v>26</v>
      </c>
    </row>
    <row r="9" spans="1:16" ht="22.15" customHeight="1" x14ac:dyDescent="0.3">
      <c r="A9" s="2" t="s">
        <v>96</v>
      </c>
      <c r="B9" s="3" t="s">
        <v>33</v>
      </c>
      <c r="C9" s="4" t="s">
        <v>34</v>
      </c>
      <c r="D9" s="5" t="s">
        <v>35</v>
      </c>
      <c r="E9" s="6" t="s">
        <v>111</v>
      </c>
      <c r="F9" s="7" t="s">
        <v>22</v>
      </c>
      <c r="G9" s="8" t="s">
        <v>23</v>
      </c>
      <c r="H9" s="13">
        <f t="shared" ref="H9:H24" si="3">K9-30</f>
        <v>46162</v>
      </c>
      <c r="I9" s="6">
        <f t="shared" ca="1" si="0"/>
        <v>78</v>
      </c>
      <c r="J9" s="6">
        <f t="shared" si="1"/>
        <v>92</v>
      </c>
      <c r="K9" s="20">
        <v>46192</v>
      </c>
      <c r="L9" s="13">
        <f t="shared" si="2"/>
        <v>46284</v>
      </c>
      <c r="M9" s="5" t="s">
        <v>36</v>
      </c>
      <c r="N9" s="6" t="s">
        <v>37</v>
      </c>
      <c r="O9" s="6" t="s">
        <v>38</v>
      </c>
      <c r="P9" s="5" t="s">
        <v>39</v>
      </c>
    </row>
    <row r="10" spans="1:16" ht="22.15" customHeight="1" x14ac:dyDescent="0.3">
      <c r="A10" s="2" t="s">
        <v>97</v>
      </c>
      <c r="B10" s="9" t="s">
        <v>40</v>
      </c>
      <c r="C10" s="10" t="s">
        <v>34</v>
      </c>
      <c r="D10" s="11" t="s">
        <v>35</v>
      </c>
      <c r="E10" s="6" t="s">
        <v>111</v>
      </c>
      <c r="F10" s="19" t="s">
        <v>90</v>
      </c>
      <c r="G10" s="17" t="s">
        <v>30</v>
      </c>
      <c r="H10" s="13">
        <f t="shared" si="3"/>
        <v>46261</v>
      </c>
      <c r="I10" s="6">
        <f t="shared" ca="1" si="0"/>
        <v>0</v>
      </c>
      <c r="J10" s="6">
        <f t="shared" si="1"/>
        <v>91</v>
      </c>
      <c r="K10" s="20">
        <v>46291</v>
      </c>
      <c r="L10" s="13">
        <f t="shared" si="2"/>
        <v>46382</v>
      </c>
      <c r="M10" s="11" t="s">
        <v>41</v>
      </c>
      <c r="N10" s="12" t="s">
        <v>42</v>
      </c>
      <c r="O10" s="12" t="s">
        <v>38</v>
      </c>
      <c r="P10" s="11" t="s">
        <v>43</v>
      </c>
    </row>
    <row r="11" spans="1:16" ht="22.15" customHeight="1" x14ac:dyDescent="0.3">
      <c r="A11" s="2" t="s">
        <v>98</v>
      </c>
      <c r="B11" s="3" t="s">
        <v>31</v>
      </c>
      <c r="C11" s="4" t="s">
        <v>28</v>
      </c>
      <c r="D11" s="5" t="s">
        <v>44</v>
      </c>
      <c r="E11" s="6" t="s">
        <v>111</v>
      </c>
      <c r="F11" s="7" t="s">
        <v>22</v>
      </c>
      <c r="G11" s="8" t="s">
        <v>23</v>
      </c>
      <c r="H11" s="13">
        <f t="shared" si="3"/>
        <v>46181</v>
      </c>
      <c r="I11" s="6">
        <f t="shared" ca="1" si="0"/>
        <v>59</v>
      </c>
      <c r="J11" s="6">
        <f t="shared" si="1"/>
        <v>92</v>
      </c>
      <c r="K11" s="21">
        <v>46211</v>
      </c>
      <c r="L11" s="13">
        <f t="shared" si="2"/>
        <v>46303</v>
      </c>
      <c r="M11" s="5" t="s">
        <v>45</v>
      </c>
      <c r="N11" s="6" t="s">
        <v>46</v>
      </c>
      <c r="O11" s="6" t="s">
        <v>38</v>
      </c>
      <c r="P11" s="5" t="s">
        <v>26</v>
      </c>
    </row>
    <row r="12" spans="1:16" ht="22.15" customHeight="1" x14ac:dyDescent="0.3">
      <c r="A12" s="2" t="s">
        <v>99</v>
      </c>
      <c r="B12" s="9" t="s">
        <v>36</v>
      </c>
      <c r="C12" s="10" t="s">
        <v>34</v>
      </c>
      <c r="D12" s="11" t="s">
        <v>44</v>
      </c>
      <c r="E12" s="6" t="s">
        <v>111</v>
      </c>
      <c r="F12" s="7" t="s">
        <v>22</v>
      </c>
      <c r="G12" s="8" t="s">
        <v>23</v>
      </c>
      <c r="H12" s="13">
        <f t="shared" si="3"/>
        <v>46181</v>
      </c>
      <c r="I12" s="6">
        <f t="shared" ca="1" si="0"/>
        <v>59</v>
      </c>
      <c r="J12" s="6">
        <f t="shared" si="1"/>
        <v>92</v>
      </c>
      <c r="K12" s="21">
        <v>46211</v>
      </c>
      <c r="L12" s="13">
        <f t="shared" si="2"/>
        <v>46303</v>
      </c>
      <c r="M12" s="11" t="s">
        <v>47</v>
      </c>
      <c r="N12" s="12" t="s">
        <v>48</v>
      </c>
      <c r="O12" s="12" t="s">
        <v>38</v>
      </c>
      <c r="P12" s="11" t="s">
        <v>39</v>
      </c>
    </row>
    <row r="13" spans="1:16" ht="22.15" customHeight="1" x14ac:dyDescent="0.3">
      <c r="A13" s="2" t="s">
        <v>100</v>
      </c>
      <c r="B13" s="3" t="s">
        <v>41</v>
      </c>
      <c r="C13" s="4" t="s">
        <v>34</v>
      </c>
      <c r="D13" s="5" t="s">
        <v>44</v>
      </c>
      <c r="E13" s="6" t="s">
        <v>111</v>
      </c>
      <c r="F13" s="7" t="s">
        <v>22</v>
      </c>
      <c r="G13" s="8" t="s">
        <v>23</v>
      </c>
      <c r="H13" s="13">
        <f t="shared" si="3"/>
        <v>46201</v>
      </c>
      <c r="I13" s="6">
        <f t="shared" ca="1" si="0"/>
        <v>39</v>
      </c>
      <c r="J13" s="6">
        <f t="shared" si="1"/>
        <v>92</v>
      </c>
      <c r="K13" s="20">
        <v>46231</v>
      </c>
      <c r="L13" s="13">
        <f t="shared" si="2"/>
        <v>46323</v>
      </c>
      <c r="M13" s="5" t="s">
        <v>49</v>
      </c>
      <c r="N13" s="6" t="s">
        <v>50</v>
      </c>
      <c r="O13" s="6" t="s">
        <v>38</v>
      </c>
      <c r="P13" s="5" t="s">
        <v>43</v>
      </c>
    </row>
    <row r="14" spans="1:16" ht="22.15" customHeight="1" x14ac:dyDescent="0.3">
      <c r="A14" s="2" t="s">
        <v>93</v>
      </c>
      <c r="B14" s="9" t="s">
        <v>45</v>
      </c>
      <c r="C14" s="10" t="s">
        <v>28</v>
      </c>
      <c r="D14" s="11" t="s">
        <v>51</v>
      </c>
      <c r="E14" s="6" t="s">
        <v>111</v>
      </c>
      <c r="F14" s="7" t="s">
        <v>22</v>
      </c>
      <c r="G14" s="8" t="s">
        <v>23</v>
      </c>
      <c r="H14" s="13">
        <f t="shared" si="3"/>
        <v>46212</v>
      </c>
      <c r="I14" s="6">
        <f t="shared" ca="1" si="0"/>
        <v>28</v>
      </c>
      <c r="J14" s="6">
        <f t="shared" si="1"/>
        <v>92</v>
      </c>
      <c r="K14" s="20">
        <v>46242</v>
      </c>
      <c r="L14" s="13">
        <f t="shared" si="2"/>
        <v>46334</v>
      </c>
      <c r="M14" s="11" t="s">
        <v>27</v>
      </c>
      <c r="N14" s="12" t="s">
        <v>52</v>
      </c>
      <c r="O14" s="12" t="s">
        <v>38</v>
      </c>
      <c r="P14" s="11" t="s">
        <v>26</v>
      </c>
    </row>
    <row r="15" spans="1:16" ht="22.15" customHeight="1" x14ac:dyDescent="0.3">
      <c r="A15" s="2" t="s">
        <v>101</v>
      </c>
      <c r="B15" s="3" t="s">
        <v>47</v>
      </c>
      <c r="C15" s="4" t="s">
        <v>34</v>
      </c>
      <c r="D15" s="5" t="s">
        <v>51</v>
      </c>
      <c r="E15" s="6" t="s">
        <v>111</v>
      </c>
      <c r="F15" s="7" t="s">
        <v>22</v>
      </c>
      <c r="G15" s="8" t="s">
        <v>23</v>
      </c>
      <c r="H15" s="13">
        <f t="shared" si="3"/>
        <v>46181</v>
      </c>
      <c r="I15" s="6">
        <f t="shared" ca="1" si="0"/>
        <v>59</v>
      </c>
      <c r="J15" s="6">
        <f t="shared" si="1"/>
        <v>92</v>
      </c>
      <c r="K15" s="21">
        <v>46211</v>
      </c>
      <c r="L15" s="13">
        <f t="shared" si="2"/>
        <v>46303</v>
      </c>
      <c r="M15" s="5" t="s">
        <v>33</v>
      </c>
      <c r="N15" s="6" t="s">
        <v>53</v>
      </c>
      <c r="O15" s="6" t="s">
        <v>38</v>
      </c>
      <c r="P15" s="5" t="s">
        <v>39</v>
      </c>
    </row>
    <row r="16" spans="1:16" ht="22.15" customHeight="1" x14ac:dyDescent="0.3">
      <c r="A16" s="2" t="s">
        <v>94</v>
      </c>
      <c r="B16" s="9" t="s">
        <v>49</v>
      </c>
      <c r="C16" s="10" t="s">
        <v>34</v>
      </c>
      <c r="D16" s="11" t="s">
        <v>51</v>
      </c>
      <c r="E16" s="6" t="s">
        <v>111</v>
      </c>
      <c r="F16" s="7" t="s">
        <v>22</v>
      </c>
      <c r="G16" s="8" t="s">
        <v>23</v>
      </c>
      <c r="H16" s="13">
        <f t="shared" si="3"/>
        <v>46216</v>
      </c>
      <c r="I16" s="6">
        <f t="shared" ca="1" si="0"/>
        <v>24</v>
      </c>
      <c r="J16" s="6">
        <f t="shared" si="1"/>
        <v>92</v>
      </c>
      <c r="K16" s="20">
        <v>46246</v>
      </c>
      <c r="L16" s="13">
        <f t="shared" si="2"/>
        <v>46338</v>
      </c>
      <c r="M16" s="11" t="s">
        <v>40</v>
      </c>
      <c r="N16" s="12" t="s">
        <v>54</v>
      </c>
      <c r="O16" s="12" t="s">
        <v>38</v>
      </c>
      <c r="P16" s="11" t="s">
        <v>43</v>
      </c>
    </row>
    <row r="17" spans="1:16" ht="22.15" customHeight="1" x14ac:dyDescent="0.3">
      <c r="A17" s="2" t="s">
        <v>102</v>
      </c>
      <c r="B17" s="9" t="s">
        <v>80</v>
      </c>
      <c r="C17" s="10" t="s">
        <v>81</v>
      </c>
      <c r="D17" s="11" t="s">
        <v>55</v>
      </c>
      <c r="E17" s="12" t="s">
        <v>56</v>
      </c>
      <c r="F17" s="7" t="s">
        <v>22</v>
      </c>
      <c r="G17" s="8" t="s">
        <v>23</v>
      </c>
      <c r="H17" s="13">
        <f t="shared" si="3"/>
        <v>46201</v>
      </c>
      <c r="I17" s="6">
        <f t="shared" ca="1" si="0"/>
        <v>39</v>
      </c>
      <c r="J17" s="6">
        <f t="shared" si="1"/>
        <v>92</v>
      </c>
      <c r="K17" s="20">
        <v>46231</v>
      </c>
      <c r="L17" s="13">
        <f t="shared" si="2"/>
        <v>46323</v>
      </c>
      <c r="M17" s="11" t="s">
        <v>82</v>
      </c>
      <c r="N17" s="12" t="s">
        <v>58</v>
      </c>
      <c r="O17" s="12" t="s">
        <v>57</v>
      </c>
      <c r="P17" s="11" t="s">
        <v>43</v>
      </c>
    </row>
    <row r="18" spans="1:16" ht="22.15" customHeight="1" x14ac:dyDescent="0.3">
      <c r="A18" s="2" t="s">
        <v>103</v>
      </c>
      <c r="B18" s="3" t="s">
        <v>82</v>
      </c>
      <c r="C18" s="4" t="s">
        <v>83</v>
      </c>
      <c r="D18" s="5" t="s">
        <v>55</v>
      </c>
      <c r="E18" s="6" t="s">
        <v>56</v>
      </c>
      <c r="F18" s="7" t="s">
        <v>22</v>
      </c>
      <c r="G18" s="8" t="s">
        <v>23</v>
      </c>
      <c r="H18" s="13">
        <f t="shared" si="3"/>
        <v>46167</v>
      </c>
      <c r="I18" s="6">
        <f t="shared" ca="1" si="0"/>
        <v>73</v>
      </c>
      <c r="J18" s="6">
        <f t="shared" si="1"/>
        <v>92</v>
      </c>
      <c r="K18" s="20">
        <v>46197</v>
      </c>
      <c r="L18" s="13">
        <f t="shared" si="2"/>
        <v>46289</v>
      </c>
      <c r="M18" s="5" t="s">
        <v>80</v>
      </c>
      <c r="N18" s="6" t="s">
        <v>59</v>
      </c>
      <c r="O18" s="6" t="s">
        <v>57</v>
      </c>
      <c r="P18" s="5" t="s">
        <v>39</v>
      </c>
    </row>
    <row r="19" spans="1:16" ht="22.15" customHeight="1" x14ac:dyDescent="0.3">
      <c r="A19" s="2" t="s">
        <v>104</v>
      </c>
      <c r="B19" s="3" t="s">
        <v>60</v>
      </c>
      <c r="C19" s="4" t="s">
        <v>61</v>
      </c>
      <c r="D19" s="5" t="s">
        <v>62</v>
      </c>
      <c r="E19" s="6" t="s">
        <v>63</v>
      </c>
      <c r="F19" s="7" t="s">
        <v>22</v>
      </c>
      <c r="G19" s="8" t="s">
        <v>23</v>
      </c>
      <c r="H19" s="13">
        <f t="shared" si="3"/>
        <v>46201</v>
      </c>
      <c r="I19" s="6">
        <f t="shared" ca="1" si="0"/>
        <v>39</v>
      </c>
      <c r="J19" s="6">
        <f t="shared" si="1"/>
        <v>92</v>
      </c>
      <c r="K19" s="20">
        <v>46231</v>
      </c>
      <c r="L19" s="13">
        <f t="shared" si="2"/>
        <v>46323</v>
      </c>
      <c r="M19" s="5" t="s">
        <v>64</v>
      </c>
      <c r="N19" s="6" t="s">
        <v>65</v>
      </c>
      <c r="O19" s="6" t="s">
        <v>66</v>
      </c>
      <c r="P19" s="5" t="s">
        <v>67</v>
      </c>
    </row>
    <row r="20" spans="1:16" ht="22.15" customHeight="1" x14ac:dyDescent="0.3">
      <c r="A20" s="2" t="s">
        <v>105</v>
      </c>
      <c r="B20" s="9" t="s">
        <v>64</v>
      </c>
      <c r="C20" s="10" t="s">
        <v>61</v>
      </c>
      <c r="D20" s="11" t="s">
        <v>62</v>
      </c>
      <c r="E20" s="12" t="s">
        <v>63</v>
      </c>
      <c r="F20" s="7" t="s">
        <v>22</v>
      </c>
      <c r="G20" s="8" t="s">
        <v>23</v>
      </c>
      <c r="H20" s="13">
        <f t="shared" si="3"/>
        <v>46133</v>
      </c>
      <c r="I20" s="6">
        <f t="shared" ca="1" si="0"/>
        <v>107</v>
      </c>
      <c r="J20" s="6">
        <f t="shared" si="1"/>
        <v>92</v>
      </c>
      <c r="K20" s="20">
        <v>46163</v>
      </c>
      <c r="L20" s="21">
        <f t="shared" si="2"/>
        <v>46255</v>
      </c>
      <c r="M20" s="11" t="s">
        <v>60</v>
      </c>
      <c r="N20" s="12" t="s">
        <v>68</v>
      </c>
      <c r="O20" s="12" t="s">
        <v>66</v>
      </c>
      <c r="P20" s="11" t="s">
        <v>67</v>
      </c>
    </row>
    <row r="21" spans="1:16" ht="22.15" customHeight="1" x14ac:dyDescent="0.3">
      <c r="A21" s="2" t="s">
        <v>106</v>
      </c>
      <c r="B21" s="3" t="s">
        <v>85</v>
      </c>
      <c r="C21" s="4" t="s">
        <v>79</v>
      </c>
      <c r="D21" s="5" t="s">
        <v>112</v>
      </c>
      <c r="E21" s="6" t="s">
        <v>113</v>
      </c>
      <c r="F21" s="7" t="s">
        <v>22</v>
      </c>
      <c r="G21" s="8" t="s">
        <v>23</v>
      </c>
      <c r="H21" s="13">
        <f t="shared" si="3"/>
        <v>46188</v>
      </c>
      <c r="I21" s="6">
        <f t="shared" ca="1" si="0"/>
        <v>52</v>
      </c>
      <c r="J21" s="6">
        <f t="shared" si="1"/>
        <v>92</v>
      </c>
      <c r="K21" s="20">
        <v>46218</v>
      </c>
      <c r="L21" s="13">
        <f t="shared" si="2"/>
        <v>46310</v>
      </c>
      <c r="M21" s="14" t="s">
        <v>86</v>
      </c>
      <c r="N21" s="6" t="s">
        <v>65</v>
      </c>
      <c r="O21" s="6" t="s">
        <v>66</v>
      </c>
      <c r="P21" s="5" t="s">
        <v>67</v>
      </c>
    </row>
    <row r="22" spans="1:16" ht="22.15" customHeight="1" x14ac:dyDescent="0.3">
      <c r="A22" s="2" t="s">
        <v>107</v>
      </c>
      <c r="B22" s="9" t="s">
        <v>86</v>
      </c>
      <c r="C22" s="10" t="s">
        <v>87</v>
      </c>
      <c r="D22" s="5" t="s">
        <v>112</v>
      </c>
      <c r="E22" s="6" t="s">
        <v>113</v>
      </c>
      <c r="F22" s="7" t="s">
        <v>22</v>
      </c>
      <c r="G22" s="8" t="s">
        <v>23</v>
      </c>
      <c r="H22" s="13">
        <f t="shared" si="3"/>
        <v>46184</v>
      </c>
      <c r="I22" s="6">
        <f t="shared" ca="1" si="0"/>
        <v>56</v>
      </c>
      <c r="J22" s="6">
        <f t="shared" si="1"/>
        <v>92</v>
      </c>
      <c r="K22" s="20">
        <v>46214</v>
      </c>
      <c r="L22" s="13">
        <f t="shared" si="2"/>
        <v>46306</v>
      </c>
      <c r="M22" s="15" t="s">
        <v>85</v>
      </c>
      <c r="N22" s="12" t="s">
        <v>68</v>
      </c>
      <c r="O22" s="12" t="s">
        <v>66</v>
      </c>
      <c r="P22" s="11" t="s">
        <v>67</v>
      </c>
    </row>
    <row r="23" spans="1:16" ht="22.15" customHeight="1" x14ac:dyDescent="0.3">
      <c r="A23" s="22" t="s">
        <v>108</v>
      </c>
      <c r="B23" s="23" t="s">
        <v>69</v>
      </c>
      <c r="C23" s="24" t="s">
        <v>70</v>
      </c>
      <c r="D23" s="25" t="s">
        <v>71</v>
      </c>
      <c r="E23" s="26" t="s">
        <v>72</v>
      </c>
      <c r="F23" s="27" t="s">
        <v>22</v>
      </c>
      <c r="G23" s="28" t="s">
        <v>23</v>
      </c>
      <c r="H23" s="29">
        <f t="shared" si="3"/>
        <v>46177</v>
      </c>
      <c r="I23" s="26">
        <f t="shared" ca="1" si="0"/>
        <v>63</v>
      </c>
      <c r="J23" s="26">
        <f t="shared" si="1"/>
        <v>92</v>
      </c>
      <c r="K23" s="29" t="s">
        <v>73</v>
      </c>
      <c r="L23" s="29">
        <f t="shared" si="2"/>
        <v>46299</v>
      </c>
      <c r="M23" s="25" t="s">
        <v>74</v>
      </c>
      <c r="N23" s="26" t="s">
        <v>75</v>
      </c>
      <c r="O23" s="26" t="s">
        <v>76</v>
      </c>
      <c r="P23" s="25" t="s">
        <v>43</v>
      </c>
    </row>
    <row r="24" spans="1:16" ht="22.15" customHeight="1" x14ac:dyDescent="0.3">
      <c r="A24" s="22" t="s">
        <v>109</v>
      </c>
      <c r="B24" s="30" t="s">
        <v>74</v>
      </c>
      <c r="C24" s="31" t="s">
        <v>77</v>
      </c>
      <c r="D24" s="32" t="s">
        <v>71</v>
      </c>
      <c r="E24" s="33" t="s">
        <v>72</v>
      </c>
      <c r="F24" s="27" t="s">
        <v>22</v>
      </c>
      <c r="G24" s="28" t="s">
        <v>23</v>
      </c>
      <c r="H24" s="29">
        <f t="shared" si="3"/>
        <v>46210</v>
      </c>
      <c r="I24" s="26">
        <f t="shared" ca="1" si="0"/>
        <v>30</v>
      </c>
      <c r="J24" s="26">
        <f t="shared" si="1"/>
        <v>92</v>
      </c>
      <c r="K24" s="34" t="s">
        <v>78</v>
      </c>
      <c r="L24" s="29">
        <f t="shared" si="2"/>
        <v>46332</v>
      </c>
      <c r="M24" s="32" t="s">
        <v>69</v>
      </c>
      <c r="N24" s="35" t="s">
        <v>89</v>
      </c>
      <c r="O24" s="33" t="s">
        <v>76</v>
      </c>
      <c r="P24" s="32" t="s">
        <v>43</v>
      </c>
    </row>
    <row r="32" spans="1:16" x14ac:dyDescent="0.3">
      <c r="G32" t="s">
        <v>110</v>
      </c>
    </row>
  </sheetData>
  <mergeCells count="6">
    <mergeCell ref="H6:I6"/>
    <mergeCell ref="K4:O4"/>
    <mergeCell ref="A2:P2"/>
    <mergeCell ref="B4:D4"/>
    <mergeCell ref="A1:P1"/>
    <mergeCell ref="F4:H4"/>
  </mergeCells>
  <phoneticPr fontId="1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Manpower Roster (Sep 2026)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Joon Choi</cp:lastModifiedBy>
  <dcterms:created xsi:type="dcterms:W3CDTF">2026-09-01T04:50:17Z</dcterms:created>
  <dcterms:modified xsi:type="dcterms:W3CDTF">2026-09-04T01:33:06Z</dcterms:modified>
</cp:coreProperties>
</file>